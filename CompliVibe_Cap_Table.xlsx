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<sst xmlns="http://schemas.openxmlformats.org/spreadsheetml/2006/main" count="53" uniqueCount="33">
  <si>
    <t xml:space="preserve">CompliVibe</t>
  </si>
  <si>
    <t xml:space="preserve">Capitalization Table — Pro Forma, Seed Round</t>
  </si>
  <si>
    <t xml:space="preserve">CompliVibe Private Limited  |  Prepared June 2026  |  Confidential</t>
  </si>
  <si>
    <t xml:space="preserve">ROUND ASSUMPTIONS</t>
  </si>
  <si>
    <t xml:space="preserve">Post-money valuation</t>
  </si>
  <si>
    <t xml:space="preserve">New investment (this round)</t>
  </si>
  <si>
    <t xml:space="preserve">Notional fully diluted shares (pre-round, post-ESOP)</t>
  </si>
  <si>
    <t xml:space="preserve">Investor ownership (post-round)</t>
  </si>
  <si>
    <t xml:space="preserve">Note: ESOP pool of 10% is carved from the founder pool prior to this round. Investment is structured post-money.</t>
  </si>
  <si>
    <t xml:space="preserve">PRE-ROUND OWNERSHIP (BEFORE ESOP CARVE-OUT)</t>
  </si>
  <si>
    <t xml:space="preserve">Shareholder</t>
  </si>
  <si>
    <t xml:space="preserve">Role</t>
  </si>
  <si>
    <t xml:space="preserve">Shares</t>
  </si>
  <si>
    <t xml:space="preserve">Ownership %</t>
  </si>
  <si>
    <t xml:space="preserve">Adarsh Kumar Sharma</t>
  </si>
  <si>
    <t xml:space="preserve">Founder &amp; CEO</t>
  </si>
  <si>
    <t xml:space="preserve">Saransh Jha</t>
  </si>
  <si>
    <t xml:space="preserve">Co-Founder &amp; COO</t>
  </si>
  <si>
    <t xml:space="preserve">Total</t>
  </si>
  <si>
    <t xml:space="preserve">ESOP POOL CARVE-OUT</t>
  </si>
  <si>
    <t xml:space="preserve">ESOP pool size (carved entirely from Adarsh Kumar Sharma's holdings)</t>
  </si>
  <si>
    <t xml:space="preserve">POST-ESOP, PRE-ROUND OWNERSHIP</t>
  </si>
  <si>
    <t xml:space="preserve">Employee Option Pool (ESOP)</t>
  </si>
  <si>
    <t xml:space="preserve">Reserved</t>
  </si>
  <si>
    <t xml:space="preserve">POST-ROUND CAP TABLE (PRO FORMA, AFTER $150K SEED)</t>
  </si>
  <si>
    <t xml:space="preserve">Seed Investor(s)</t>
  </si>
  <si>
    <t xml:space="preserve">Investor — $150,000 SAFE/Equity</t>
  </si>
  <si>
    <t xml:space="preserve">Notes</t>
  </si>
  <si>
    <t xml:space="preserve">1. Valuation and round size confirmed by founders; this round is structured as a post-money instrument.</t>
  </si>
  <si>
    <t xml:space="preserve">2. ESOP pool (10%) is fully carved from Adarsh Kumar Sharma's pre-round holdings prior to the new investment.</t>
  </si>
  <si>
    <t xml:space="preserve">3. Shubham Raj (Co-founder, Serri AI; Eureka'23 winner) advises the company; no equity grant allocated at this time.</t>
  </si>
  <si>
    <t xml:space="preserve">4. Share counts are notional, on a fully diluted basis (10,000,000 base shares), for ownership-percentage modeling only — not an actual issued-share register.</t>
  </si>
  <si>
    <t xml:space="preserve">5. Blue cells are editable inputs; all other figures are formulas and recalculate automatically.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</si>
</sst>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#,##0;\(#,##0\);\-"/>
    <numFmt numFmtId="167" formatCode="0.0%;\-0.0%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i val="true"/>
      <sz val="9"/>
      <color rgb="FFC9CEDB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.5"/>
      <color rgb="FF1A1A1A"/>
      <name val="Calibri"/>
      <family val="0"/>
      <charset val="1"/>
    </font>
    <font>
      <sz val="10.5"/>
      <color rgb="FF1A4FBF"/>
      <name val="Calibri"/>
      <family val="0"/>
      <charset val="1"/>
    </font>
    <font>
      <b val="true"/>
      <sz val="10.5"/>
      <color rgb="FF1A1A1A"/>
      <name val="Calibri"/>
      <family val="0"/>
      <charset val="1"/>
    </font>
    <font>
      <i val="true"/>
      <sz val="9"/>
      <color rgb="FF4A556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2"/>
      <color rgb="FF1B254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.5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540"/>
        <bgColor rgb="FF1A1A1A"/>
      </patternFill>
    </fill>
    <fill>
      <patternFill patternType="solid">
        <fgColor rgb="FF4A5568"/>
        <bgColor rgb="FF333399"/>
      </patternFill>
    </fill>
    <fill>
      <patternFill patternType="solid">
        <fgColor rgb="FFF4EFE6"/>
        <bgColor rgb="FFEDEDED"/>
      </patternFill>
    </fill>
    <fill>
      <patternFill patternType="solid">
        <fgColor rgb="FFEDEDED"/>
        <bgColor rgb="FFF4EFE6"/>
      </patternFill>
    </fill>
    <fill>
      <patternFill patternType="solid">
        <fgColor rgb="FFB08D57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4EFE6"/>
      <rgbColor rgb="FFEDEDED"/>
      <rgbColor rgb="FF660066"/>
      <rgbColor rgb="FFFF8080"/>
      <rgbColor rgb="FF1A4FBF"/>
      <rgbColor rgb="FFC9CE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B08D57"/>
      <rgbColor rgb="FF003366"/>
      <rgbColor rgb="FF339966"/>
      <rgbColor rgb="FF003300"/>
      <rgbColor rgb="FF1A1A1A"/>
      <rgbColor rgb="FF993300"/>
      <rgbColor rgb="FF993366"/>
      <rgbColor rgb="FF333399"/>
      <rgbColor rgb="FF1B2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6"/>
    <col collapsed="false" customWidth="true" hidden="false" outlineLevel="0" max="8" min="8" style="0" width="3"/>
  </cols>
  <sheetData>
    <row r="1" customFormat="false" ht="19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</row>
    <row r="3" customFormat="false" ht="15.75" hidden="false" customHeight="true" outlineLevel="0" collapsed="false">
      <c r="A3" s="1"/>
      <c r="B3" s="4" t="s">
        <v>2</v>
      </c>
      <c r="C3" s="4"/>
      <c r="D3" s="4"/>
      <c r="E3" s="4"/>
      <c r="F3" s="4"/>
      <c r="G3" s="4"/>
      <c r="H3" s="4"/>
    </row>
    <row r="4" customFormat="false" ht="7.5" hidden="false" customHeight="true" outlineLevel="0" collapsed="false"/>
    <row r="5" customFormat="false" ht="18" hidden="false" customHeight="true" outlineLevel="0" collapsed="false">
      <c r="A5" s="5"/>
      <c r="B5" s="6" t="s">
        <v>3</v>
      </c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B6" s="7" t="s">
        <v>4</v>
      </c>
      <c r="D6" s="8" t="n">
        <v>1500000</v>
      </c>
      <c r="E6" s="8"/>
    </row>
    <row r="7" customFormat="false" ht="15" hidden="false" customHeight="false" outlineLevel="0" collapsed="false">
      <c r="B7" s="7" t="s">
        <v>5</v>
      </c>
      <c r="D7" s="8" t="n">
        <v>150000</v>
      </c>
      <c r="E7" s="8"/>
    </row>
    <row r="8" customFormat="false" ht="15" hidden="false" customHeight="false" outlineLevel="0" collapsed="false">
      <c r="B8" s="7" t="s">
        <v>6</v>
      </c>
      <c r="D8" s="9" t="n">
        <v>10000000</v>
      </c>
      <c r="E8" s="9"/>
    </row>
    <row r="9" customFormat="false" ht="15" hidden="false" customHeight="false" outlineLevel="0" collapsed="false">
      <c r="B9" s="10" t="s">
        <v>7</v>
      </c>
      <c r="G9" s="11" t="n">
        <f aca="false">D7/D6</f>
        <v>0.1</v>
      </c>
      <c r="H9" s="11"/>
    </row>
    <row r="10" customFormat="false" ht="15" hidden="false" customHeight="false" outlineLevel="0" collapsed="false">
      <c r="B10" s="12" t="s">
        <v>8</v>
      </c>
      <c r="C10" s="12"/>
      <c r="D10" s="12"/>
      <c r="E10" s="12"/>
    </row>
    <row r="12" customFormat="false" ht="18" hidden="false" customHeight="true" outlineLevel="0" collapsed="false">
      <c r="A12" s="5"/>
      <c r="B12" s="6" t="s">
        <v>9</v>
      </c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B13" s="13" t="s">
        <v>10</v>
      </c>
      <c r="C13" s="13" t="s">
        <v>11</v>
      </c>
      <c r="D13" s="13"/>
      <c r="E13" s="14" t="s">
        <v>12</v>
      </c>
      <c r="F13" s="14"/>
      <c r="G13" s="14" t="s">
        <v>13</v>
      </c>
      <c r="H13" s="14"/>
    </row>
    <row r="14" customFormat="false" ht="15" hidden="false" customHeight="false" outlineLevel="0" collapsed="false">
      <c r="B14" s="15" t="s">
        <v>14</v>
      </c>
      <c r="C14" s="15" t="s">
        <v>15</v>
      </c>
      <c r="D14" s="15"/>
      <c r="E14" s="16" t="n">
        <f aca="false">G14*D8</f>
        <v>6000000</v>
      </c>
      <c r="F14" s="16"/>
      <c r="G14" s="17" t="n">
        <v>0.6</v>
      </c>
      <c r="H14" s="17"/>
    </row>
    <row r="15" customFormat="false" ht="15" hidden="false" customHeight="false" outlineLevel="0" collapsed="false">
      <c r="B15" s="15" t="s">
        <v>16</v>
      </c>
      <c r="C15" s="15" t="s">
        <v>17</v>
      </c>
      <c r="D15" s="15"/>
      <c r="E15" s="16" t="n">
        <f aca="false">G15*D8</f>
        <v>4000000</v>
      </c>
      <c r="F15" s="16"/>
      <c r="G15" s="17" t="n">
        <v>0.4</v>
      </c>
      <c r="H15" s="17"/>
    </row>
    <row r="16" customFormat="false" ht="15" hidden="false" customHeight="false" outlineLevel="0" collapsed="false">
      <c r="B16" s="18" t="s">
        <v>18</v>
      </c>
      <c r="C16" s="19"/>
      <c r="D16" s="19"/>
      <c r="E16" s="20" t="n">
        <f aca="false">SUM(E14:E15)</f>
        <v>10000000</v>
      </c>
      <c r="F16" s="20"/>
      <c r="G16" s="11" t="n">
        <f aca="false">SUM(G14:G15)</f>
        <v>1</v>
      </c>
      <c r="H16" s="11"/>
    </row>
    <row r="18" customFormat="false" ht="18" hidden="false" customHeight="true" outlineLevel="0" collapsed="false">
      <c r="A18" s="5"/>
      <c r="B18" s="6" t="s">
        <v>19</v>
      </c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B19" s="21" t="s">
        <v>20</v>
      </c>
      <c r="C19" s="21"/>
      <c r="D19" s="21"/>
      <c r="E19" s="21"/>
      <c r="F19" s="21"/>
      <c r="G19" s="17" t="n">
        <v>0.1</v>
      </c>
      <c r="H19" s="17"/>
    </row>
    <row r="21" customFormat="false" ht="18" hidden="false" customHeight="true" outlineLevel="0" collapsed="false">
      <c r="A21" s="5"/>
      <c r="B21" s="6" t="s">
        <v>21</v>
      </c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B22" s="13" t="s">
        <v>10</v>
      </c>
      <c r="C22" s="13" t="s">
        <v>11</v>
      </c>
      <c r="D22" s="13"/>
      <c r="E22" s="14" t="s">
        <v>12</v>
      </c>
      <c r="F22" s="14"/>
      <c r="G22" s="14" t="s">
        <v>13</v>
      </c>
      <c r="H22" s="14"/>
    </row>
    <row r="23" customFormat="false" ht="15" hidden="false" customHeight="false" outlineLevel="0" collapsed="false">
      <c r="B23" s="22" t="s">
        <v>14</v>
      </c>
      <c r="C23" s="22" t="s">
        <v>15</v>
      </c>
      <c r="D23" s="22"/>
      <c r="E23" s="16" t="n">
        <f aca="false">G23*D8</f>
        <v>5000000</v>
      </c>
      <c r="F23" s="16"/>
      <c r="G23" s="23" t="n">
        <f aca="false">G14-G19</f>
        <v>0.5</v>
      </c>
      <c r="H23" s="23"/>
    </row>
    <row r="24" customFormat="false" ht="15" hidden="false" customHeight="false" outlineLevel="0" collapsed="false">
      <c r="B24" s="22" t="s">
        <v>16</v>
      </c>
      <c r="C24" s="22" t="s">
        <v>17</v>
      </c>
      <c r="D24" s="22"/>
      <c r="E24" s="16" t="n">
        <f aca="false">G24*D8</f>
        <v>4000000</v>
      </c>
      <c r="F24" s="16"/>
      <c r="G24" s="23" t="n">
        <f aca="false">G15</f>
        <v>0.4</v>
      </c>
      <c r="H24" s="23"/>
    </row>
    <row r="25" customFormat="false" ht="15" hidden="false" customHeight="false" outlineLevel="0" collapsed="false">
      <c r="B25" s="22" t="s">
        <v>22</v>
      </c>
      <c r="C25" s="22" t="s">
        <v>23</v>
      </c>
      <c r="D25" s="22"/>
      <c r="E25" s="16" t="n">
        <f aca="false">G25*D8</f>
        <v>1000000</v>
      </c>
      <c r="F25" s="16"/>
      <c r="G25" s="23" t="n">
        <f aca="false">G19</f>
        <v>0.1</v>
      </c>
      <c r="H25" s="23"/>
    </row>
    <row r="26" customFormat="false" ht="15" hidden="false" customHeight="false" outlineLevel="0" collapsed="false">
      <c r="B26" s="18" t="s">
        <v>18</v>
      </c>
      <c r="C26" s="19"/>
      <c r="D26" s="19"/>
      <c r="E26" s="20" t="n">
        <f aca="false">SUM(E23:E25)</f>
        <v>10000000</v>
      </c>
      <c r="F26" s="20"/>
      <c r="G26" s="11" t="n">
        <f aca="false">SUM(G23:G25)</f>
        <v>1</v>
      </c>
      <c r="H26" s="11"/>
    </row>
    <row r="28" customFormat="false" ht="18" hidden="false" customHeight="true" outlineLevel="0" collapsed="false">
      <c r="A28" s="24"/>
      <c r="B28" s="25" t="s">
        <v>24</v>
      </c>
      <c r="C28" s="25"/>
      <c r="D28" s="25"/>
      <c r="E28" s="25"/>
      <c r="F28" s="25"/>
      <c r="G28" s="25"/>
      <c r="H28" s="25"/>
    </row>
    <row r="29" customFormat="false" ht="15" hidden="false" customHeight="false" outlineLevel="0" collapsed="false">
      <c r="B29" s="13" t="s">
        <v>10</v>
      </c>
      <c r="C29" s="13" t="s">
        <v>11</v>
      </c>
      <c r="D29" s="13"/>
      <c r="E29" s="14" t="s">
        <v>12</v>
      </c>
      <c r="F29" s="14"/>
      <c r="G29" s="14" t="s">
        <v>13</v>
      </c>
      <c r="H29" s="14"/>
    </row>
    <row r="30" customFormat="false" ht="15" hidden="false" customHeight="false" outlineLevel="0" collapsed="false">
      <c r="B30" s="22" t="s">
        <v>14</v>
      </c>
      <c r="C30" s="22" t="s">
        <v>15</v>
      </c>
      <c r="D30" s="22"/>
      <c r="E30" s="16" t="n">
        <f aca="false">G30*D8/(1-G9)</f>
        <v>5000000</v>
      </c>
      <c r="F30" s="16"/>
      <c r="G30" s="23" t="n">
        <f aca="false">G23*(1-G9)</f>
        <v>0.45</v>
      </c>
      <c r="H30" s="23"/>
    </row>
    <row r="31" customFormat="false" ht="15" hidden="false" customHeight="false" outlineLevel="0" collapsed="false">
      <c r="B31" s="22" t="s">
        <v>16</v>
      </c>
      <c r="C31" s="22" t="s">
        <v>17</v>
      </c>
      <c r="D31" s="22"/>
      <c r="E31" s="16" t="n">
        <f aca="false">G31*D8/(1-G9)</f>
        <v>4000000</v>
      </c>
      <c r="F31" s="16"/>
      <c r="G31" s="23" t="n">
        <f aca="false">G24*(1-G9)</f>
        <v>0.36</v>
      </c>
      <c r="H31" s="23"/>
    </row>
    <row r="32" customFormat="false" ht="15" hidden="false" customHeight="false" outlineLevel="0" collapsed="false">
      <c r="B32" s="22" t="s">
        <v>22</v>
      </c>
      <c r="C32" s="22" t="s">
        <v>23</v>
      </c>
      <c r="D32" s="22"/>
      <c r="E32" s="16" t="n">
        <f aca="false">G32*D8/(1-G9)</f>
        <v>1000000</v>
      </c>
      <c r="F32" s="16"/>
      <c r="G32" s="23" t="n">
        <f aca="false">G25*(1-G9)</f>
        <v>0.09</v>
      </c>
      <c r="H32" s="23"/>
    </row>
    <row r="33" customFormat="false" ht="15" hidden="false" customHeight="false" outlineLevel="0" collapsed="false">
      <c r="B33" s="22" t="s">
        <v>25</v>
      </c>
      <c r="C33" s="22" t="s">
        <v>26</v>
      </c>
      <c r="D33" s="22"/>
      <c r="E33" s="16" t="n">
        <f aca="false">G33*D8/(1-G9)</f>
        <v>1111111.11111111</v>
      </c>
      <c r="F33" s="16"/>
      <c r="G33" s="23" t="n">
        <f aca="false">G9</f>
        <v>0.1</v>
      </c>
      <c r="H33" s="23"/>
    </row>
    <row r="34" customFormat="false" ht="15" hidden="false" customHeight="false" outlineLevel="0" collapsed="false">
      <c r="B34" s="26" t="s">
        <v>18</v>
      </c>
      <c r="C34" s="27"/>
      <c r="D34" s="27"/>
      <c r="E34" s="28" t="n">
        <f aca="false">SUM(E30:E33)</f>
        <v>11111111.1111111</v>
      </c>
      <c r="F34" s="28"/>
      <c r="G34" s="29" t="n">
        <f aca="false">SUM(G30:G33)</f>
        <v>1</v>
      </c>
      <c r="H34" s="29"/>
    </row>
    <row r="36" customFormat="false" ht="15" hidden="false" customHeight="false" outlineLevel="0" collapsed="false">
      <c r="B36" s="30" t="s">
        <v>27</v>
      </c>
      <c r="C36" s="30"/>
      <c r="D36" s="30"/>
      <c r="E36" s="30"/>
      <c r="F36" s="30"/>
      <c r="G36" s="30"/>
      <c r="H36" s="30"/>
    </row>
    <row r="37" customFormat="false" ht="15" hidden="false" customHeight="false" outlineLevel="0" collapsed="false">
      <c r="B37" s="12" t="s">
        <v>28</v>
      </c>
      <c r="C37" s="12"/>
      <c r="D37" s="12"/>
      <c r="E37" s="12"/>
      <c r="F37" s="12"/>
      <c r="G37" s="12"/>
      <c r="H37" s="12"/>
    </row>
    <row r="38" customFormat="false" ht="15" hidden="false" customHeight="false" outlineLevel="0" collapsed="false">
      <c r="B38" s="12" t="s">
        <v>29</v>
      </c>
      <c r="C38" s="12"/>
      <c r="D38" s="12"/>
      <c r="E38" s="12"/>
      <c r="F38" s="12"/>
      <c r="G38" s="12"/>
      <c r="H38" s="12"/>
    </row>
    <row r="39" customFormat="false" ht="15" hidden="false" customHeight="false" outlineLevel="0" collapsed="false">
      <c r="B39" s="12" t="s">
        <v>30</v>
      </c>
      <c r="C39" s="12"/>
      <c r="D39" s="12"/>
      <c r="E39" s="12"/>
      <c r="F39" s="12"/>
      <c r="G39" s="12"/>
      <c r="H39" s="12"/>
    </row>
    <row r="40" customFormat="false" ht="15" hidden="false" customHeight="false" outlineLevel="0" collapsed="false">
      <c r="B40" s="12" t="s">
        <v>31</v>
      </c>
      <c r="C40" s="12"/>
      <c r="D40" s="12"/>
      <c r="E40" s="12"/>
      <c r="F40" s="12"/>
      <c r="G40" s="12"/>
      <c r="H40" s="12"/>
    </row>
    <row r="41" customFormat="false" ht="15" hidden="false" customHeight="false" outlineLevel="0" collapsed="false">
      <c r="B41" s="12" t="s">
        <v>32</v>
      </c>
      <c r="C41" s="12"/>
      <c r="D41" s="12"/>
      <c r="E41" s="12"/>
      <c r="F41" s="12"/>
      <c r="G41" s="12"/>
      <c r="H41" s="12"/>
    </row>
  </sheetData>
  <mergeCells count="66">
    <mergeCell ref="B1:H1"/>
    <mergeCell ref="B2:H2"/>
    <mergeCell ref="B3:H3"/>
    <mergeCell ref="B5:H5"/>
    <mergeCell ref="D6:E6"/>
    <mergeCell ref="D7:E7"/>
    <mergeCell ref="D8:E8"/>
    <mergeCell ref="G9:H9"/>
    <mergeCell ref="B10:E10"/>
    <mergeCell ref="B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B18:H18"/>
    <mergeCell ref="B19:F19"/>
    <mergeCell ref="G19:H19"/>
    <mergeCell ref="B21:H21"/>
    <mergeCell ref="C22:D22"/>
    <mergeCell ref="E22:F22"/>
    <mergeCell ref="G22:H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B28:H28"/>
    <mergeCell ref="C29:D29"/>
    <mergeCell ref="E29:F29"/>
    <mergeCell ref="G29:H29"/>
    <mergeCell ref="C30:D30"/>
    <mergeCell ref="E30:F30"/>
    <mergeCell ref="G30:H3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C34:D34"/>
    <mergeCell ref="E34:F34"/>
    <mergeCell ref="G34:H34"/>
    <mergeCell ref="B36:H36"/>
    <mergeCell ref="B37:H37"/>
    <mergeCell ref="B38:H38"/>
    <mergeCell ref="B39:H39"/>
    <mergeCell ref="B40:H40"/>
    <mergeCell ref="B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2026-06-20T06:28:45Z</dcterms:created>
  <dc:creator>openpyxl</dc:creator>
  <dc:description/>
  <dc:language>en-US</dc:language>
  <cp:lastModifiedBy/>
  <dcterms:modified xsi:type="dcterms:W3CDTF">2026-06-20T06:28:45Z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