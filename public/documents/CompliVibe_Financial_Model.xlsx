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<sst xmlns="http://schemas.openxmlformats.org/spreadsheetml/2006/main" count="58" uniqueCount="58">
  <si>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CompliVibe</t>
  </si>
  <si>
    <t xml:space="preserve">24-Month Financial Model — Post-Seed Plan</t>
  </si>
  <si>
    <t xml:space="preserve">CompliVibe Private Limited  |  Prepared June 2026  |  Confidential</t>
  </si>
  <si>
    <t xml:space="preserve">STARTING POSITION</t>
  </si>
  <si>
    <t xml:space="preserve">Current monthly burn, avg (USD)</t>
  </si>
  <si>
    <t xml:space="preserve">Current runway (months)</t>
  </si>
  <si>
    <t xml:space="preserve">Current cash on hand (USD)</t>
  </si>
  <si>
    <t xml:space="preserve">New seed investment (USD)</t>
  </si>
  <si>
    <t xml:space="preserve">Total starting cash, post-raise (USD)</t>
  </si>
  <si>
    <t xml:space="preserve">INR / USD exchange rate</t>
  </si>
  <si>
    <t xml:space="preserve">REVENUE ASSUMPTIONS</t>
  </si>
  <si>
    <t xml:space="preserve">Existing customer</t>
  </si>
  <si>
    <t xml:space="preserve">ARR (INR)</t>
  </si>
  <si>
    <t xml:space="preserve">Fitlit Private Limited</t>
  </si>
  <si>
    <t xml:space="preserve">GlideRun Co.</t>
  </si>
  <si>
    <t xml:space="preserve">Vessora Private Limited</t>
  </si>
  <si>
    <t xml:space="preserve">Total existing ARR (INR)</t>
  </si>
  <si>
    <t xml:space="preserve">ARPU — new customer (INR/year)</t>
  </si>
  <si>
    <t xml:space="preserve">New customers added per month (post ramp-up)</t>
  </si>
  <si>
    <t xml:space="preserve">Ramp-up start month (1-24)</t>
  </si>
  <si>
    <t xml:space="preserve">Monthly churn rate</t>
  </si>
  <si>
    <t xml:space="preserve">HIRING PLAN (funded by this round)</t>
  </si>
  <si>
    <t xml:space="preserve">Role</t>
  </si>
  <si>
    <t xml:space="preserve">Monthly salary (INR)</t>
  </si>
  <si>
    <t xml:space="preserve">Start month</t>
  </si>
  <si>
    <t xml:space="preserve">Compliance Associate #1</t>
  </si>
  <si>
    <t xml:space="preserve">Compliance Associate #2</t>
  </si>
  <si>
    <t xml:space="preserve">Backend Engineer</t>
  </si>
  <si>
    <t xml:space="preserve">Frontend Engineer</t>
  </si>
  <si>
    <t xml:space="preserve">Intern #1</t>
  </si>
  <si>
    <t xml:space="preserve">Intern #2</t>
  </si>
  <si>
    <t xml:space="preserve">Total new monthly payroll, full headcount</t>
  </si>
  <si>
    <t xml:space="preserve">Note: hiring plan = 2 compliance, 1 backend, 1 frontend, 2 interns. Salaries are placeholder market-rate inputs — edit to match actual offers.</t>
  </si>
  <si>
    <t xml:space="preserve">24-MONTH CASH FLOW MODEL</t>
  </si>
  <si>
    <t xml:space="preserve">Month</t>
  </si>
  <si>
    <t xml:space="preserve">New customers (cumulative)</t>
  </si>
  <si>
    <t xml:space="preserve">Total active customers</t>
  </si>
  <si>
    <t xml:space="preserve">Revenue (INR/month)</t>
  </si>
  <si>
    <t xml:space="preserve">Revenue (USD/month)</t>
  </si>
  <si>
    <t xml:space="preserve">New-hire payroll (INR/month)</t>
  </si>
  <si>
    <t xml:space="preserve">New-hire payroll (USD/month)</t>
  </si>
  <si>
    <t xml:space="preserve">Base opex, pre-hiring (USD/month)</t>
  </si>
  <si>
    <t xml:space="preserve">Total burn (USD/month)</t>
  </si>
  <si>
    <t xml:space="preserve">Net cash flow (USD/month)</t>
  </si>
  <si>
    <t xml:space="preserve">Cash balance, end of month (USD)</t>
  </si>
  <si>
    <t xml:space="preserve">RUNWAY &amp; UNIT ECONOMICS</t>
  </si>
  <si>
    <t xml:space="preserve">Months of positive cash balance (runway)</t>
  </si>
  <si>
    <t xml:space="preserve">Ending cash balance, Month 24 (USD)</t>
  </si>
  <si>
    <t xml:space="preserve">ARPU (USD/month)</t>
  </si>
  <si>
    <t xml:space="preserve">Assumed gross margin</t>
  </si>
  <si>
    <t xml:space="preserve">Assumed avg. customer lifetime (months)</t>
  </si>
  <si>
    <t xml:space="preserve">Implied LTV (USD)</t>
  </si>
  <si>
    <t xml:space="preserve">CAC</t>
  </si>
  <si>
    <t xml:space="preserve">N/A — first 3 customers acquired via founder-led sales, no paid acquisition spend yet</t>
  </si>
  <si>
    <t xml:space="preserve">1. All figures in USD unless marked INR; conversion at the FX rate above (editable input).</t>
  </si>
  <si>
    <t xml:space="preserve">2. Existing 3 customers' ARR figures and ARPU as provided; base opex assumed flat at current monthly burn.</t>
  </si>
  <si>
    <t xml:space="preserve">3. Hiring start months, salaries, and new-customer ramp are editable blue inputs — adjust to match actual offers/pipeline.</t>
  </si>
  <si>
    <t xml:space="preserve">4. Blue cells are inputs; all other figures are formulas and recalculate automatically.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</si>
</sst>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;\(#,##0\);\-"/>
    <numFmt numFmtId="167" formatCode="0.0"/>
    <numFmt numFmtId="168" formatCode="\₹#,##0;&quot;(₹&quot;#,##0\);\-"/>
    <numFmt numFmtId="169" formatCode="0.0%;\-0.0%;\-"/>
    <numFmt numFmtId="170" formatCode="\$#,##0.0;&quot;($&quot;#,##0.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i val="true"/>
      <sz val="9"/>
      <color rgb="FFC9CED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.5"/>
      <color rgb="FF1A1A1A"/>
      <name val="Calibri"/>
      <family val="0"/>
      <charset val="1"/>
    </font>
    <font>
      <sz val="10.5"/>
      <color rgb="FF1A4FBF"/>
      <name val="Calibri"/>
      <family val="0"/>
      <charset val="1"/>
    </font>
    <font>
      <b val="true"/>
      <sz val="10.5"/>
      <color rgb="FF1A1A1A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i val="true"/>
      <sz val="9"/>
      <color rgb="FF4A5568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1B2540"/>
      <name val="Calibri"/>
      <family val="0"/>
      <charset val="1"/>
    </font>
    <font>
      <sz val="10"/>
      <color rgb="FF1A1A1A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540"/>
        <bgColor rgb="FF1A1A1A"/>
      </patternFill>
    </fill>
    <fill>
      <patternFill patternType="solid">
        <fgColor rgb="FF4A5568"/>
        <bgColor rgb="FF333399"/>
      </patternFill>
    </fill>
    <fill>
      <patternFill patternType="solid">
        <fgColor rgb="FFF4EFE6"/>
        <bgColor rgb="FFEDEDED"/>
      </patternFill>
    </fill>
    <fill>
      <patternFill patternType="solid">
        <fgColor rgb="FFEDEDED"/>
        <bgColor rgb="FFF4EFE6"/>
      </patternFill>
    </fill>
    <fill>
      <patternFill patternType="solid">
        <fgColor rgb="FFB08D57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4EFE6"/>
      <rgbColor rgb="FFEDEDED"/>
      <rgbColor rgb="FF660066"/>
      <rgbColor rgb="FFFF8080"/>
      <rgbColor rgb="FF1A4FBF"/>
      <rgbColor rgb="FFC9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B08D57"/>
      <rgbColor rgb="FF003366"/>
      <rgbColor rgb="FF339966"/>
      <rgbColor rgb="FF003300"/>
      <rgbColor rgb="FF1A1A1A"/>
      <rgbColor rgb="FF993300"/>
      <rgbColor rgb="FF993366"/>
      <rgbColor rgb="FF333399"/>
      <rgbColor rgb="FF1B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8" min="4" style="0" width="14"/>
  </cols>
  <sheetData>
    <row r="1" customFormat="false" ht="19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</row>
    <row r="3" customFormat="false" ht="15.75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</row>
    <row r="4" customFormat="false" ht="7.5" hidden="false" customHeight="true" outlineLevel="0" collapsed="false"/>
    <row r="5" customFormat="false" ht="18" hidden="false" customHeight="true" outlineLevel="0" collapsed="false">
      <c r="A5" s="5"/>
      <c r="B5" s="6" t="s">
        <v>3</v>
      </c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B6" s="7" t="s">
        <v>4</v>
      </c>
      <c r="D6" s="8" t="n">
        <v>2750</v>
      </c>
      <c r="E6" s="8"/>
    </row>
    <row r="7" customFormat="false" ht="15" hidden="false" customHeight="false" outlineLevel="0" collapsed="false">
      <c r="B7" s="7" t="s">
        <v>5</v>
      </c>
      <c r="D7" s="9" t="n">
        <v>7</v>
      </c>
      <c r="E7" s="9"/>
    </row>
    <row r="8" customFormat="false" ht="15" hidden="false" customHeight="false" outlineLevel="0" collapsed="false">
      <c r="B8" s="10" t="s">
        <v>6</v>
      </c>
      <c r="D8" s="11" t="n">
        <f aca="false">D6*D7</f>
        <v>19250</v>
      </c>
      <c r="E8" s="11"/>
    </row>
    <row r="9" customFormat="false" ht="15" hidden="false" customHeight="false" outlineLevel="0" collapsed="false">
      <c r="B9" s="7" t="s">
        <v>7</v>
      </c>
      <c r="D9" s="8" t="n">
        <v>150000</v>
      </c>
      <c r="E9" s="8"/>
    </row>
    <row r="10" customFormat="false" ht="15" hidden="false" customHeight="false" outlineLevel="0" collapsed="false">
      <c r="B10" s="10" t="s">
        <v>8</v>
      </c>
      <c r="D10" s="11" t="n">
        <f aca="false">D8+D9</f>
        <v>169250</v>
      </c>
      <c r="E10" s="11"/>
    </row>
    <row r="11" customFormat="false" ht="15" hidden="false" customHeight="false" outlineLevel="0" collapsed="false">
      <c r="B11" s="7" t="s">
        <v>9</v>
      </c>
      <c r="D11" s="12" t="n">
        <v>83</v>
      </c>
      <c r="E11" s="12"/>
    </row>
    <row r="13" customFormat="false" ht="18" hidden="false" customHeight="true" outlineLevel="0" collapsed="false">
      <c r="A13" s="5"/>
      <c r="B13" s="6" t="s">
        <v>10</v>
      </c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B14" s="13" t="s">
        <v>11</v>
      </c>
      <c r="C14" s="13"/>
      <c r="D14" s="13" t="s">
        <v>12</v>
      </c>
      <c r="E14" s="13"/>
    </row>
    <row r="15" customFormat="false" ht="15" hidden="false" customHeight="false" outlineLevel="0" collapsed="false">
      <c r="B15" s="14" t="s">
        <v>13</v>
      </c>
      <c r="C15" s="14"/>
      <c r="D15" s="15" t="n">
        <v>8000</v>
      </c>
      <c r="E15" s="15"/>
    </row>
    <row r="16" customFormat="false" ht="15" hidden="false" customHeight="false" outlineLevel="0" collapsed="false">
      <c r="B16" s="14" t="s">
        <v>14</v>
      </c>
      <c r="C16" s="14"/>
      <c r="D16" s="15" t="n">
        <v>24000</v>
      </c>
      <c r="E16" s="15"/>
    </row>
    <row r="17" customFormat="false" ht="15" hidden="false" customHeight="false" outlineLevel="0" collapsed="false">
      <c r="B17" s="14" t="s">
        <v>15</v>
      </c>
      <c r="C17" s="14"/>
      <c r="D17" s="15" t="n">
        <v>8000</v>
      </c>
      <c r="E17" s="15"/>
    </row>
    <row r="18" customFormat="false" ht="15" hidden="false" customHeight="false" outlineLevel="0" collapsed="false">
      <c r="B18" s="16" t="s">
        <v>16</v>
      </c>
      <c r="C18" s="16"/>
      <c r="D18" s="17" t="n">
        <f aca="false">SUM(D15:D17)</f>
        <v>40000</v>
      </c>
      <c r="E18" s="17"/>
    </row>
    <row r="19" customFormat="false" ht="15" hidden="false" customHeight="false" outlineLevel="0" collapsed="false">
      <c r="B19" s="7" t="s">
        <v>17</v>
      </c>
      <c r="D19" s="15" t="n">
        <v>24000</v>
      </c>
      <c r="E19" s="15"/>
    </row>
    <row r="20" customFormat="false" ht="15" hidden="false" customHeight="false" outlineLevel="0" collapsed="false">
      <c r="B20" s="7" t="s">
        <v>18</v>
      </c>
      <c r="D20" s="9" t="n">
        <v>1</v>
      </c>
      <c r="E20" s="9"/>
    </row>
    <row r="21" customFormat="false" ht="15" hidden="false" customHeight="false" outlineLevel="0" collapsed="false">
      <c r="B21" s="7" t="s">
        <v>19</v>
      </c>
      <c r="D21" s="9" t="n">
        <v>4</v>
      </c>
      <c r="E21" s="9"/>
    </row>
    <row r="22" customFormat="false" ht="15" hidden="false" customHeight="false" outlineLevel="0" collapsed="false">
      <c r="B22" s="7" t="s">
        <v>20</v>
      </c>
      <c r="D22" s="18" t="n">
        <v>0</v>
      </c>
      <c r="E22" s="18"/>
    </row>
    <row r="24" customFormat="false" ht="18" hidden="false" customHeight="true" outlineLevel="0" collapsed="false">
      <c r="A24" s="5"/>
      <c r="B24" s="6" t="s">
        <v>21</v>
      </c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B25" s="19" t="s">
        <v>22</v>
      </c>
      <c r="D25" s="13" t="s">
        <v>23</v>
      </c>
      <c r="E25" s="13"/>
      <c r="F25" s="19" t="s">
        <v>24</v>
      </c>
    </row>
    <row r="26" customFormat="false" ht="15" hidden="false" customHeight="false" outlineLevel="0" collapsed="false">
      <c r="B26" s="7" t="s">
        <v>25</v>
      </c>
      <c r="D26" s="15" t="n">
        <v>50000</v>
      </c>
      <c r="E26" s="15"/>
      <c r="F26" s="9" t="n">
        <v>1</v>
      </c>
    </row>
    <row r="27" customFormat="false" ht="15" hidden="false" customHeight="false" outlineLevel="0" collapsed="false">
      <c r="B27" s="7" t="s">
        <v>26</v>
      </c>
      <c r="D27" s="15" t="n">
        <v>50000</v>
      </c>
      <c r="E27" s="15"/>
      <c r="F27" s="9" t="n">
        <v>2</v>
      </c>
    </row>
    <row r="28" customFormat="false" ht="15" hidden="false" customHeight="false" outlineLevel="0" collapsed="false">
      <c r="B28" s="7" t="s">
        <v>27</v>
      </c>
      <c r="D28" s="15" t="n">
        <v>60000</v>
      </c>
      <c r="E28" s="15"/>
      <c r="F28" s="9" t="n">
        <v>1</v>
      </c>
    </row>
    <row r="29" customFormat="false" ht="15" hidden="false" customHeight="false" outlineLevel="0" collapsed="false">
      <c r="B29" s="7" t="s">
        <v>28</v>
      </c>
      <c r="D29" s="15" t="n">
        <v>55000</v>
      </c>
      <c r="E29" s="15"/>
      <c r="F29" s="9" t="n">
        <v>2</v>
      </c>
    </row>
    <row r="30" customFormat="false" ht="15" hidden="false" customHeight="false" outlineLevel="0" collapsed="false">
      <c r="B30" s="7" t="s">
        <v>29</v>
      </c>
      <c r="D30" s="15" t="n">
        <v>15000</v>
      </c>
      <c r="E30" s="15"/>
      <c r="F30" s="9" t="n">
        <v>3</v>
      </c>
    </row>
    <row r="31" customFormat="false" ht="15" hidden="false" customHeight="false" outlineLevel="0" collapsed="false">
      <c r="B31" s="7" t="s">
        <v>30</v>
      </c>
      <c r="D31" s="15" t="n">
        <v>15000</v>
      </c>
      <c r="E31" s="15"/>
      <c r="F31" s="9" t="n">
        <v>3</v>
      </c>
    </row>
    <row r="32" customFormat="false" ht="15" hidden="false" customHeight="false" outlineLevel="0" collapsed="false">
      <c r="B32" s="10" t="s">
        <v>31</v>
      </c>
      <c r="D32" s="17" t="n">
        <f aca="false">SUM(D26:D31)</f>
        <v>245000</v>
      </c>
      <c r="E32" s="17"/>
    </row>
    <row r="34" customFormat="false" ht="15" hidden="false" customHeight="false" outlineLevel="0" collapsed="false">
      <c r="B34" s="20" t="s">
        <v>32</v>
      </c>
      <c r="C34" s="20"/>
      <c r="D34" s="20"/>
      <c r="E34" s="20"/>
      <c r="F34" s="20"/>
    </row>
    <row r="36" customFormat="false" ht="18" hidden="false" customHeight="true" outlineLevel="0" collapsed="false">
      <c r="A36" s="5"/>
      <c r="B36" s="6" t="s">
        <v>33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B37" s="19" t="s">
        <v>34</v>
      </c>
      <c r="C37" s="21" t="n">
        <v>1</v>
      </c>
      <c r="D37" s="21" t="n">
        <v>2</v>
      </c>
      <c r="E37" s="21" t="n">
        <v>3</v>
      </c>
      <c r="F37" s="21" t="n">
        <v>4</v>
      </c>
      <c r="G37" s="21" t="n">
        <v>5</v>
      </c>
      <c r="H37" s="21" t="n">
        <v>6</v>
      </c>
      <c r="I37" s="21" t="n">
        <v>7</v>
      </c>
      <c r="J37" s="21" t="n">
        <v>8</v>
      </c>
      <c r="K37" s="21" t="n">
        <v>9</v>
      </c>
      <c r="L37" s="21" t="n">
        <v>10</v>
      </c>
      <c r="M37" s="21" t="n">
        <v>11</v>
      </c>
      <c r="N37" s="21" t="n">
        <v>12</v>
      </c>
      <c r="O37" s="21" t="n">
        <v>13</v>
      </c>
      <c r="P37" s="21" t="n">
        <v>14</v>
      </c>
      <c r="Q37" s="21" t="n">
        <v>15</v>
      </c>
      <c r="R37" s="21" t="n">
        <v>16</v>
      </c>
      <c r="S37" s="21" t="n">
        <v>17</v>
      </c>
      <c r="T37" s="21" t="n">
        <v>18</v>
      </c>
      <c r="U37" s="21" t="n">
        <v>19</v>
      </c>
      <c r="V37" s="21" t="n">
        <v>20</v>
      </c>
      <c r="W37" s="21" t="n">
        <v>21</v>
      </c>
      <c r="X37" s="21" t="n">
        <v>22</v>
      </c>
      <c r="Y37" s="21" t="n">
        <v>23</v>
      </c>
      <c r="Z37" s="21" t="n">
        <v>24</v>
      </c>
    </row>
    <row r="38" customFormat="false" ht="15" hidden="false" customHeight="false" outlineLevel="0" collapsed="false">
      <c r="B38" s="7" t="s">
        <v>35</v>
      </c>
      <c r="C38" s="22" t="n">
        <f aca="false">IF(1&gt;=$D$21,(1-$D$21+1)*$D$20,0)</f>
        <v>0</v>
      </c>
      <c r="D38" s="22" t="n">
        <f aca="false">IF(2&gt;=$D$21,(2-$D$21+1)*$D$20,0)</f>
        <v>0</v>
      </c>
      <c r="E38" s="22" t="n">
        <f aca="false">IF(3&gt;=$D$21,(3-$D$21+1)*$D$20,0)</f>
        <v>0</v>
      </c>
      <c r="F38" s="22" t="n">
        <f aca="false">IF(4&gt;=$D$21,(4-$D$21+1)*$D$20,0)</f>
        <v>1</v>
      </c>
      <c r="G38" s="22" t="n">
        <f aca="false">IF(5&gt;=$D$21,(5-$D$21+1)*$D$20,0)</f>
        <v>2</v>
      </c>
      <c r="H38" s="22" t="n">
        <f aca="false">IF(6&gt;=$D$21,(6-$D$21+1)*$D$20,0)</f>
        <v>3</v>
      </c>
      <c r="I38" s="22" t="n">
        <f aca="false">IF(7&gt;=$D$21,(7-$D$21+1)*$D$20,0)</f>
        <v>4</v>
      </c>
      <c r="J38" s="22" t="n">
        <f aca="false">IF(8&gt;=$D$21,(8-$D$21+1)*$D$20,0)</f>
        <v>5</v>
      </c>
      <c r="K38" s="22" t="n">
        <f aca="false">IF(9&gt;=$D$21,(9-$D$21+1)*$D$20,0)</f>
        <v>6</v>
      </c>
      <c r="L38" s="22" t="n">
        <f aca="false">IF(10&gt;=$D$21,(10-$D$21+1)*$D$20,0)</f>
        <v>7</v>
      </c>
      <c r="M38" s="22" t="n">
        <f aca="false">IF(11&gt;=$D$21,(11-$D$21+1)*$D$20,0)</f>
        <v>8</v>
      </c>
      <c r="N38" s="22" t="n">
        <f aca="false">IF(12&gt;=$D$21,(12-$D$21+1)*$D$20,0)</f>
        <v>9</v>
      </c>
      <c r="O38" s="22" t="n">
        <f aca="false">IF(13&gt;=$D$21,(13-$D$21+1)*$D$20,0)</f>
        <v>10</v>
      </c>
      <c r="P38" s="22" t="n">
        <f aca="false">IF(14&gt;=$D$21,(14-$D$21+1)*$D$20,0)</f>
        <v>11</v>
      </c>
      <c r="Q38" s="22" t="n">
        <f aca="false">IF(15&gt;=$D$21,(15-$D$21+1)*$D$20,0)</f>
        <v>12</v>
      </c>
      <c r="R38" s="22" t="n">
        <f aca="false">IF(16&gt;=$D$21,(16-$D$21+1)*$D$20,0)</f>
        <v>13</v>
      </c>
      <c r="S38" s="22" t="n">
        <f aca="false">IF(17&gt;=$D$21,(17-$D$21+1)*$D$20,0)</f>
        <v>14</v>
      </c>
      <c r="T38" s="22" t="n">
        <f aca="false">IF(18&gt;=$D$21,(18-$D$21+1)*$D$20,0)</f>
        <v>15</v>
      </c>
      <c r="U38" s="22" t="n">
        <f aca="false">IF(19&gt;=$D$21,(19-$D$21+1)*$D$20,0)</f>
        <v>16</v>
      </c>
      <c r="V38" s="22" t="n">
        <f aca="false">IF(20&gt;=$D$21,(20-$D$21+1)*$D$20,0)</f>
        <v>17</v>
      </c>
      <c r="W38" s="22" t="n">
        <f aca="false">IF(21&gt;=$D$21,(21-$D$21+1)*$D$20,0)</f>
        <v>18</v>
      </c>
      <c r="X38" s="22" t="n">
        <f aca="false">IF(22&gt;=$D$21,(22-$D$21+1)*$D$20,0)</f>
        <v>19</v>
      </c>
      <c r="Y38" s="22" t="n">
        <f aca="false">IF(23&gt;=$D$21,(23-$D$21+1)*$D$20,0)</f>
        <v>20</v>
      </c>
      <c r="Z38" s="22" t="n">
        <f aca="false">IF(24&gt;=$D$21,(24-$D$21+1)*$D$20,0)</f>
        <v>21</v>
      </c>
    </row>
    <row r="39" customFormat="false" ht="15" hidden="false" customHeight="false" outlineLevel="0" collapsed="false">
      <c r="B39" s="7" t="s">
        <v>36</v>
      </c>
      <c r="C39" s="22" t="n">
        <f aca="false">3+C38</f>
        <v>3</v>
      </c>
      <c r="D39" s="22" t="n">
        <f aca="false">3+D38</f>
        <v>3</v>
      </c>
      <c r="E39" s="22" t="n">
        <f aca="false">3+E38</f>
        <v>3</v>
      </c>
      <c r="F39" s="22" t="n">
        <f aca="false">3+F38</f>
        <v>4</v>
      </c>
      <c r="G39" s="22" t="n">
        <f aca="false">3+G38</f>
        <v>5</v>
      </c>
      <c r="H39" s="22" t="n">
        <f aca="false">3+H38</f>
        <v>6</v>
      </c>
      <c r="I39" s="22" t="n">
        <f aca="false">3+I38</f>
        <v>7</v>
      </c>
      <c r="J39" s="22" t="n">
        <f aca="false">3+J38</f>
        <v>8</v>
      </c>
      <c r="K39" s="22" t="n">
        <f aca="false">3+K38</f>
        <v>9</v>
      </c>
      <c r="L39" s="22" t="n">
        <f aca="false">3+L38</f>
        <v>10</v>
      </c>
      <c r="M39" s="22" t="n">
        <f aca="false">3+M38</f>
        <v>11</v>
      </c>
      <c r="N39" s="22" t="n">
        <f aca="false">3+N38</f>
        <v>12</v>
      </c>
      <c r="O39" s="22" t="n">
        <f aca="false">3+O38</f>
        <v>13</v>
      </c>
      <c r="P39" s="22" t="n">
        <f aca="false">3+P38</f>
        <v>14</v>
      </c>
      <c r="Q39" s="22" t="n">
        <f aca="false">3+Q38</f>
        <v>15</v>
      </c>
      <c r="R39" s="22" t="n">
        <f aca="false">3+R38</f>
        <v>16</v>
      </c>
      <c r="S39" s="22" t="n">
        <f aca="false">3+S38</f>
        <v>17</v>
      </c>
      <c r="T39" s="22" t="n">
        <f aca="false">3+T38</f>
        <v>18</v>
      </c>
      <c r="U39" s="22" t="n">
        <f aca="false">3+U38</f>
        <v>19</v>
      </c>
      <c r="V39" s="22" t="n">
        <f aca="false">3+V38</f>
        <v>20</v>
      </c>
      <c r="W39" s="22" t="n">
        <f aca="false">3+W38</f>
        <v>21</v>
      </c>
      <c r="X39" s="22" t="n">
        <f aca="false">3+X38</f>
        <v>22</v>
      </c>
      <c r="Y39" s="22" t="n">
        <f aca="false">3+Y38</f>
        <v>23</v>
      </c>
      <c r="Z39" s="22" t="n">
        <f aca="false">3+Z38</f>
        <v>24</v>
      </c>
    </row>
    <row r="40" customFormat="false" ht="15" hidden="false" customHeight="false" outlineLevel="0" collapsed="false">
      <c r="B40" s="7" t="s">
        <v>37</v>
      </c>
      <c r="C40" s="23" t="n">
        <f aca="false">($D$18+C38*$D$19)/12</f>
        <v>3333.33333333333</v>
      </c>
      <c r="D40" s="23" t="n">
        <f aca="false">($D$18+D38*$D$19)/12</f>
        <v>3333.33333333333</v>
      </c>
      <c r="E40" s="23" t="n">
        <f aca="false">($D$18+E38*$D$19)/12</f>
        <v>3333.33333333333</v>
      </c>
      <c r="F40" s="23" t="n">
        <f aca="false">($D$18+F38*$D$19)/12</f>
        <v>5333.33333333333</v>
      </c>
      <c r="G40" s="23" t="n">
        <f aca="false">($D$18+G38*$D$19)/12</f>
        <v>7333.33333333333</v>
      </c>
      <c r="H40" s="23" t="n">
        <f aca="false">($D$18+H38*$D$19)/12</f>
        <v>9333.33333333333</v>
      </c>
      <c r="I40" s="23" t="n">
        <f aca="false">($D$18+I38*$D$19)/12</f>
        <v>11333.3333333333</v>
      </c>
      <c r="J40" s="23" t="n">
        <f aca="false">($D$18+J38*$D$19)/12</f>
        <v>13333.3333333333</v>
      </c>
      <c r="K40" s="23" t="n">
        <f aca="false">($D$18+K38*$D$19)/12</f>
        <v>15333.3333333333</v>
      </c>
      <c r="L40" s="23" t="n">
        <f aca="false">($D$18+L38*$D$19)/12</f>
        <v>17333.3333333333</v>
      </c>
      <c r="M40" s="23" t="n">
        <f aca="false">($D$18+M38*$D$19)/12</f>
        <v>19333.3333333333</v>
      </c>
      <c r="N40" s="23" t="n">
        <f aca="false">($D$18+N38*$D$19)/12</f>
        <v>21333.3333333333</v>
      </c>
      <c r="O40" s="23" t="n">
        <f aca="false">($D$18+O38*$D$19)/12</f>
        <v>23333.3333333333</v>
      </c>
      <c r="P40" s="23" t="n">
        <f aca="false">($D$18+P38*$D$19)/12</f>
        <v>25333.3333333333</v>
      </c>
      <c r="Q40" s="23" t="n">
        <f aca="false">($D$18+Q38*$D$19)/12</f>
        <v>27333.3333333333</v>
      </c>
      <c r="R40" s="23" t="n">
        <f aca="false">($D$18+R38*$D$19)/12</f>
        <v>29333.3333333333</v>
      </c>
      <c r="S40" s="23" t="n">
        <f aca="false">($D$18+S38*$D$19)/12</f>
        <v>31333.3333333333</v>
      </c>
      <c r="T40" s="23" t="n">
        <f aca="false">($D$18+T38*$D$19)/12</f>
        <v>33333.3333333333</v>
      </c>
      <c r="U40" s="23" t="n">
        <f aca="false">($D$18+U38*$D$19)/12</f>
        <v>35333.3333333333</v>
      </c>
      <c r="V40" s="23" t="n">
        <f aca="false">($D$18+V38*$D$19)/12</f>
        <v>37333.3333333333</v>
      </c>
      <c r="W40" s="23" t="n">
        <f aca="false">($D$18+W38*$D$19)/12</f>
        <v>39333.3333333333</v>
      </c>
      <c r="X40" s="23" t="n">
        <f aca="false">($D$18+X38*$D$19)/12</f>
        <v>41333.3333333333</v>
      </c>
      <c r="Y40" s="23" t="n">
        <f aca="false">($D$18+Y38*$D$19)/12</f>
        <v>43333.3333333333</v>
      </c>
      <c r="Z40" s="23" t="n">
        <f aca="false">($D$18+Z38*$D$19)/12</f>
        <v>45333.3333333333</v>
      </c>
    </row>
    <row r="41" customFormat="false" ht="15" hidden="false" customHeight="false" outlineLevel="0" collapsed="false">
      <c r="B41" s="7" t="s">
        <v>38</v>
      </c>
      <c r="C41" s="24" t="n">
        <f aca="false">C40/$D$11</f>
        <v>40.1606425702811</v>
      </c>
      <c r="D41" s="24" t="n">
        <f aca="false">D40/$D$11</f>
        <v>40.1606425702811</v>
      </c>
      <c r="E41" s="24" t="n">
        <f aca="false">E40/$D$11</f>
        <v>40.1606425702811</v>
      </c>
      <c r="F41" s="24" t="n">
        <f aca="false">F40/$D$11</f>
        <v>64.2570281124498</v>
      </c>
      <c r="G41" s="24" t="n">
        <f aca="false">G40/$D$11</f>
        <v>88.3534136546185</v>
      </c>
      <c r="H41" s="24" t="n">
        <f aca="false">H40/$D$11</f>
        <v>112.449799196787</v>
      </c>
      <c r="I41" s="24" t="n">
        <f aca="false">I40/$D$11</f>
        <v>136.546184738956</v>
      </c>
      <c r="J41" s="24" t="n">
        <f aca="false">J40/$D$11</f>
        <v>160.642570281125</v>
      </c>
      <c r="K41" s="24" t="n">
        <f aca="false">K40/$D$11</f>
        <v>184.738955823293</v>
      </c>
      <c r="L41" s="24" t="n">
        <f aca="false">L40/$D$11</f>
        <v>208.835341365462</v>
      </c>
      <c r="M41" s="24" t="n">
        <f aca="false">M40/$D$11</f>
        <v>232.931726907631</v>
      </c>
      <c r="N41" s="24" t="n">
        <f aca="false">N40/$D$11</f>
        <v>257.028112449799</v>
      </c>
      <c r="O41" s="24" t="n">
        <f aca="false">O40/$D$11</f>
        <v>281.124497991968</v>
      </c>
      <c r="P41" s="24" t="n">
        <f aca="false">P40/$D$11</f>
        <v>305.220883534137</v>
      </c>
      <c r="Q41" s="24" t="n">
        <f aca="false">Q40/$D$11</f>
        <v>329.317269076305</v>
      </c>
      <c r="R41" s="24" t="n">
        <f aca="false">R40/$D$11</f>
        <v>353.413654618474</v>
      </c>
      <c r="S41" s="24" t="n">
        <f aca="false">S40/$D$11</f>
        <v>377.510040160643</v>
      </c>
      <c r="T41" s="24" t="n">
        <f aca="false">T40/$D$11</f>
        <v>401.606425702811</v>
      </c>
      <c r="U41" s="24" t="n">
        <f aca="false">U40/$D$11</f>
        <v>425.70281124498</v>
      </c>
      <c r="V41" s="24" t="n">
        <f aca="false">V40/$D$11</f>
        <v>449.799196787149</v>
      </c>
      <c r="W41" s="24" t="n">
        <f aca="false">W40/$D$11</f>
        <v>473.895582329317</v>
      </c>
      <c r="X41" s="24" t="n">
        <f aca="false">X40/$D$11</f>
        <v>497.991967871486</v>
      </c>
      <c r="Y41" s="24" t="n">
        <f aca="false">Y40/$D$11</f>
        <v>522.088353413655</v>
      </c>
      <c r="Z41" s="24" t="n">
        <f aca="false">Z40/$D$11</f>
        <v>546.184738955823</v>
      </c>
    </row>
    <row r="42" customFormat="false" ht="15" hidden="false" customHeight="false" outlineLevel="0" collapsed="false">
      <c r="B42" s="7" t="s">
        <v>39</v>
      </c>
      <c r="C42" s="23" t="n">
        <f aca="false">IF(1&gt;=F26,D26,0) + IF(1&gt;=F27,D27,0) + IF(1&gt;=F28,D28,0) + IF(1&gt;=F29,D29,0) + IF(1&gt;=F30,D30,0) + IF(1&gt;=F31,D31,0)</f>
        <v>110000</v>
      </c>
      <c r="D42" s="23" t="n">
        <f aca="false">IF(2&gt;=F26,D26,0) + IF(2&gt;=F27,D27,0) + IF(2&gt;=F28,D28,0) + IF(2&gt;=F29,D29,0) + IF(2&gt;=F30,D30,0) + IF(2&gt;=F31,D31,0)</f>
        <v>215000</v>
      </c>
      <c r="E42" s="23" t="n">
        <f aca="false">IF(3&gt;=F26,D26,0) + IF(3&gt;=F27,D27,0) + IF(3&gt;=F28,D28,0) + IF(3&gt;=F29,D29,0) + IF(3&gt;=F30,D30,0) + IF(3&gt;=F31,D31,0)</f>
        <v>245000</v>
      </c>
      <c r="F42" s="23" t="n">
        <f aca="false">IF(4&gt;=F26,D26,0) + IF(4&gt;=F27,D27,0) + IF(4&gt;=F28,D28,0) + IF(4&gt;=F29,D29,0) + IF(4&gt;=F30,D30,0) + IF(4&gt;=F31,D31,0)</f>
        <v>245000</v>
      </c>
      <c r="G42" s="23" t="n">
        <f aca="false">IF(5&gt;=F26,D26,0) + IF(5&gt;=F27,D27,0) + IF(5&gt;=F28,D28,0) + IF(5&gt;=F29,D29,0) + IF(5&gt;=F30,D30,0) + IF(5&gt;=F31,D31,0)</f>
        <v>245000</v>
      </c>
      <c r="H42" s="23" t="n">
        <f aca="false">IF(6&gt;=F26,D26,0) + IF(6&gt;=F27,D27,0) + IF(6&gt;=F28,D28,0) + IF(6&gt;=F29,D29,0) + IF(6&gt;=F30,D30,0) + IF(6&gt;=F31,D31,0)</f>
        <v>245000</v>
      </c>
      <c r="I42" s="23" t="n">
        <f aca="false">IF(7&gt;=F26,D26,0) + IF(7&gt;=F27,D27,0) + IF(7&gt;=F28,D28,0) + IF(7&gt;=F29,D29,0) + IF(7&gt;=F30,D30,0) + IF(7&gt;=F31,D31,0)</f>
        <v>245000</v>
      </c>
      <c r="J42" s="23" t="n">
        <f aca="false">IF(8&gt;=F26,D26,0) + IF(8&gt;=F27,D27,0) + IF(8&gt;=F28,D28,0) + IF(8&gt;=F29,D29,0) + IF(8&gt;=F30,D30,0) + IF(8&gt;=F31,D31,0)</f>
        <v>245000</v>
      </c>
      <c r="K42" s="23" t="n">
        <f aca="false">IF(9&gt;=F26,D26,0) + IF(9&gt;=F27,D27,0) + IF(9&gt;=F28,D28,0) + IF(9&gt;=F29,D29,0) + IF(9&gt;=F30,D30,0) + IF(9&gt;=F31,D31,0)</f>
        <v>245000</v>
      </c>
      <c r="L42" s="23" t="n">
        <f aca="false">IF(10&gt;=F26,D26,0) + IF(10&gt;=F27,D27,0) + IF(10&gt;=F28,D28,0) + IF(10&gt;=F29,D29,0) + IF(10&gt;=F30,D30,0) + IF(10&gt;=F31,D31,0)</f>
        <v>245000</v>
      </c>
      <c r="M42" s="23" t="n">
        <f aca="false">IF(11&gt;=F26,D26,0) + IF(11&gt;=F27,D27,0) + IF(11&gt;=F28,D28,0) + IF(11&gt;=F29,D29,0) + IF(11&gt;=F30,D30,0) + IF(11&gt;=F31,D31,0)</f>
        <v>245000</v>
      </c>
      <c r="N42" s="23" t="n">
        <f aca="false">IF(12&gt;=F26,D26,0) + IF(12&gt;=F27,D27,0) + IF(12&gt;=F28,D28,0) + IF(12&gt;=F29,D29,0) + IF(12&gt;=F30,D30,0) + IF(12&gt;=F31,D31,0)</f>
        <v>245000</v>
      </c>
      <c r="O42" s="23" t="n">
        <f aca="false">IF(13&gt;=F26,D26,0) + IF(13&gt;=F27,D27,0) + IF(13&gt;=F28,D28,0) + IF(13&gt;=F29,D29,0) + IF(13&gt;=F30,D30,0) + IF(13&gt;=F31,D31,0)</f>
        <v>245000</v>
      </c>
      <c r="P42" s="23" t="n">
        <f aca="false">IF(14&gt;=F26,D26,0) + IF(14&gt;=F27,D27,0) + IF(14&gt;=F28,D28,0) + IF(14&gt;=F29,D29,0) + IF(14&gt;=F30,D30,0) + IF(14&gt;=F31,D31,0)</f>
        <v>245000</v>
      </c>
      <c r="Q42" s="23" t="n">
        <f aca="false">IF(15&gt;=F26,D26,0) + IF(15&gt;=F27,D27,0) + IF(15&gt;=F28,D28,0) + IF(15&gt;=F29,D29,0) + IF(15&gt;=F30,D30,0) + IF(15&gt;=F31,D31,0)</f>
        <v>245000</v>
      </c>
      <c r="R42" s="23" t="n">
        <f aca="false">IF(16&gt;=F26,D26,0) + IF(16&gt;=F27,D27,0) + IF(16&gt;=F28,D28,0) + IF(16&gt;=F29,D29,0) + IF(16&gt;=F30,D30,0) + IF(16&gt;=F31,D31,0)</f>
        <v>245000</v>
      </c>
      <c r="S42" s="23" t="n">
        <f aca="false">IF(17&gt;=F26,D26,0) + IF(17&gt;=F27,D27,0) + IF(17&gt;=F28,D28,0) + IF(17&gt;=F29,D29,0) + IF(17&gt;=F30,D30,0) + IF(17&gt;=F31,D31,0)</f>
        <v>245000</v>
      </c>
      <c r="T42" s="23" t="n">
        <f aca="false">IF(18&gt;=F26,D26,0) + IF(18&gt;=F27,D27,0) + IF(18&gt;=F28,D28,0) + IF(18&gt;=F29,D29,0) + IF(18&gt;=F30,D30,0) + IF(18&gt;=F31,D31,0)</f>
        <v>245000</v>
      </c>
      <c r="U42" s="23" t="n">
        <f aca="false">IF(19&gt;=F26,D26,0) + IF(19&gt;=F27,D27,0) + IF(19&gt;=F28,D28,0) + IF(19&gt;=F29,D29,0) + IF(19&gt;=F30,D30,0) + IF(19&gt;=F31,D31,0)</f>
        <v>245000</v>
      </c>
      <c r="V42" s="23" t="n">
        <f aca="false">IF(20&gt;=F26,D26,0) + IF(20&gt;=F27,D27,0) + IF(20&gt;=F28,D28,0) + IF(20&gt;=F29,D29,0) + IF(20&gt;=F30,D30,0) + IF(20&gt;=F31,D31,0)</f>
        <v>245000</v>
      </c>
      <c r="W42" s="23" t="n">
        <f aca="false">IF(21&gt;=F26,D26,0) + IF(21&gt;=F27,D27,0) + IF(21&gt;=F28,D28,0) + IF(21&gt;=F29,D29,0) + IF(21&gt;=F30,D30,0) + IF(21&gt;=F31,D31,0)</f>
        <v>245000</v>
      </c>
      <c r="X42" s="23" t="n">
        <f aca="false">IF(22&gt;=F26,D26,0) + IF(22&gt;=F27,D27,0) + IF(22&gt;=F28,D28,0) + IF(22&gt;=F29,D29,0) + IF(22&gt;=F30,D30,0) + IF(22&gt;=F31,D31,0)</f>
        <v>245000</v>
      </c>
      <c r="Y42" s="23" t="n">
        <f aca="false">IF(23&gt;=F26,D26,0) + IF(23&gt;=F27,D27,0) + IF(23&gt;=F28,D28,0) + IF(23&gt;=F29,D29,0) + IF(23&gt;=F30,D30,0) + IF(23&gt;=F31,D31,0)</f>
        <v>245000</v>
      </c>
      <c r="Z42" s="23" t="n">
        <f aca="false">IF(24&gt;=F26,D26,0) + IF(24&gt;=F27,D27,0) + IF(24&gt;=F28,D28,0) + IF(24&gt;=F29,D29,0) + IF(24&gt;=F30,D30,0) + IF(24&gt;=F31,D31,0)</f>
        <v>245000</v>
      </c>
    </row>
    <row r="43" customFormat="false" ht="15" hidden="false" customHeight="false" outlineLevel="0" collapsed="false">
      <c r="B43" s="7" t="s">
        <v>40</v>
      </c>
      <c r="C43" s="24" t="n">
        <f aca="false">C42/$D$11</f>
        <v>1325.30120481928</v>
      </c>
      <c r="D43" s="24" t="n">
        <f aca="false">D42/$D$11</f>
        <v>2590.36144578313</v>
      </c>
      <c r="E43" s="24" t="n">
        <f aca="false">E42/$D$11</f>
        <v>2951.80722891566</v>
      </c>
      <c r="F43" s="24" t="n">
        <f aca="false">F42/$D$11</f>
        <v>2951.80722891566</v>
      </c>
      <c r="G43" s="24" t="n">
        <f aca="false">G42/$D$11</f>
        <v>2951.80722891566</v>
      </c>
      <c r="H43" s="24" t="n">
        <f aca="false">H42/$D$11</f>
        <v>2951.80722891566</v>
      </c>
      <c r="I43" s="24" t="n">
        <f aca="false">I42/$D$11</f>
        <v>2951.80722891566</v>
      </c>
      <c r="J43" s="24" t="n">
        <f aca="false">J42/$D$11</f>
        <v>2951.80722891566</v>
      </c>
      <c r="K43" s="24" t="n">
        <f aca="false">K42/$D$11</f>
        <v>2951.80722891566</v>
      </c>
      <c r="L43" s="24" t="n">
        <f aca="false">L42/$D$11</f>
        <v>2951.80722891566</v>
      </c>
      <c r="M43" s="24" t="n">
        <f aca="false">M42/$D$11</f>
        <v>2951.80722891566</v>
      </c>
      <c r="N43" s="24" t="n">
        <f aca="false">N42/$D$11</f>
        <v>2951.80722891566</v>
      </c>
      <c r="O43" s="24" t="n">
        <f aca="false">O42/$D$11</f>
        <v>2951.80722891566</v>
      </c>
      <c r="P43" s="24" t="n">
        <f aca="false">P42/$D$11</f>
        <v>2951.80722891566</v>
      </c>
      <c r="Q43" s="24" t="n">
        <f aca="false">Q42/$D$11</f>
        <v>2951.80722891566</v>
      </c>
      <c r="R43" s="24" t="n">
        <f aca="false">R42/$D$11</f>
        <v>2951.80722891566</v>
      </c>
      <c r="S43" s="24" t="n">
        <f aca="false">S42/$D$11</f>
        <v>2951.80722891566</v>
      </c>
      <c r="T43" s="24" t="n">
        <f aca="false">T42/$D$11</f>
        <v>2951.80722891566</v>
      </c>
      <c r="U43" s="24" t="n">
        <f aca="false">U42/$D$11</f>
        <v>2951.80722891566</v>
      </c>
      <c r="V43" s="24" t="n">
        <f aca="false">V42/$D$11</f>
        <v>2951.80722891566</v>
      </c>
      <c r="W43" s="24" t="n">
        <f aca="false">W42/$D$11</f>
        <v>2951.80722891566</v>
      </c>
      <c r="X43" s="24" t="n">
        <f aca="false">X42/$D$11</f>
        <v>2951.80722891566</v>
      </c>
      <c r="Y43" s="24" t="n">
        <f aca="false">Y42/$D$11</f>
        <v>2951.80722891566</v>
      </c>
      <c r="Z43" s="24" t="n">
        <f aca="false">Z42/$D$11</f>
        <v>2951.80722891566</v>
      </c>
    </row>
    <row r="44" customFormat="false" ht="15" hidden="false" customHeight="false" outlineLevel="0" collapsed="false">
      <c r="B44" s="7" t="s">
        <v>41</v>
      </c>
      <c r="C44" s="24" t="n">
        <f aca="false">$D$6</f>
        <v>2750</v>
      </c>
      <c r="D44" s="24" t="n">
        <f aca="false">$D$6</f>
        <v>2750</v>
      </c>
      <c r="E44" s="24" t="n">
        <f aca="false">$D$6</f>
        <v>2750</v>
      </c>
      <c r="F44" s="24" t="n">
        <f aca="false">$D$6</f>
        <v>2750</v>
      </c>
      <c r="G44" s="24" t="n">
        <f aca="false">$D$6</f>
        <v>2750</v>
      </c>
      <c r="H44" s="24" t="n">
        <f aca="false">$D$6</f>
        <v>2750</v>
      </c>
      <c r="I44" s="24" t="n">
        <f aca="false">$D$6</f>
        <v>2750</v>
      </c>
      <c r="J44" s="24" t="n">
        <f aca="false">$D$6</f>
        <v>2750</v>
      </c>
      <c r="K44" s="24" t="n">
        <f aca="false">$D$6</f>
        <v>2750</v>
      </c>
      <c r="L44" s="24" t="n">
        <f aca="false">$D$6</f>
        <v>2750</v>
      </c>
      <c r="M44" s="24" t="n">
        <f aca="false">$D$6</f>
        <v>2750</v>
      </c>
      <c r="N44" s="24" t="n">
        <f aca="false">$D$6</f>
        <v>2750</v>
      </c>
      <c r="O44" s="24" t="n">
        <f aca="false">$D$6</f>
        <v>2750</v>
      </c>
      <c r="P44" s="24" t="n">
        <f aca="false">$D$6</f>
        <v>2750</v>
      </c>
      <c r="Q44" s="24" t="n">
        <f aca="false">$D$6</f>
        <v>2750</v>
      </c>
      <c r="R44" s="24" t="n">
        <f aca="false">$D$6</f>
        <v>2750</v>
      </c>
      <c r="S44" s="24" t="n">
        <f aca="false">$D$6</f>
        <v>2750</v>
      </c>
      <c r="T44" s="24" t="n">
        <f aca="false">$D$6</f>
        <v>2750</v>
      </c>
      <c r="U44" s="24" t="n">
        <f aca="false">$D$6</f>
        <v>2750</v>
      </c>
      <c r="V44" s="24" t="n">
        <f aca="false">$D$6</f>
        <v>2750</v>
      </c>
      <c r="W44" s="24" t="n">
        <f aca="false">$D$6</f>
        <v>2750</v>
      </c>
      <c r="X44" s="24" t="n">
        <f aca="false">$D$6</f>
        <v>2750</v>
      </c>
      <c r="Y44" s="24" t="n">
        <f aca="false">$D$6</f>
        <v>2750</v>
      </c>
      <c r="Z44" s="24" t="n">
        <f aca="false">$D$6</f>
        <v>2750</v>
      </c>
    </row>
    <row r="45" customFormat="false" ht="15" hidden="false" customHeight="false" outlineLevel="0" collapsed="false">
      <c r="A45" s="25"/>
      <c r="B45" s="26" t="s">
        <v>42</v>
      </c>
      <c r="C45" s="27" t="n">
        <f aca="false">C43+C44</f>
        <v>4075.30120481928</v>
      </c>
      <c r="D45" s="27" t="n">
        <f aca="false">D43+D44</f>
        <v>5340.36144578313</v>
      </c>
      <c r="E45" s="27" t="n">
        <f aca="false">E43+E44</f>
        <v>5701.80722891566</v>
      </c>
      <c r="F45" s="27" t="n">
        <f aca="false">F43+F44</f>
        <v>5701.80722891566</v>
      </c>
      <c r="G45" s="27" t="n">
        <f aca="false">G43+G44</f>
        <v>5701.80722891566</v>
      </c>
      <c r="H45" s="27" t="n">
        <f aca="false">H43+H44</f>
        <v>5701.80722891566</v>
      </c>
      <c r="I45" s="27" t="n">
        <f aca="false">I43+I44</f>
        <v>5701.80722891566</v>
      </c>
      <c r="J45" s="27" t="n">
        <f aca="false">J43+J44</f>
        <v>5701.80722891566</v>
      </c>
      <c r="K45" s="27" t="n">
        <f aca="false">K43+K44</f>
        <v>5701.80722891566</v>
      </c>
      <c r="L45" s="27" t="n">
        <f aca="false">L43+L44</f>
        <v>5701.80722891566</v>
      </c>
      <c r="M45" s="27" t="n">
        <f aca="false">M43+M44</f>
        <v>5701.80722891566</v>
      </c>
      <c r="N45" s="27" t="n">
        <f aca="false">N43+N44</f>
        <v>5701.80722891566</v>
      </c>
      <c r="O45" s="27" t="n">
        <f aca="false">O43+O44</f>
        <v>5701.80722891566</v>
      </c>
      <c r="P45" s="27" t="n">
        <f aca="false">P43+P44</f>
        <v>5701.80722891566</v>
      </c>
      <c r="Q45" s="27" t="n">
        <f aca="false">Q43+Q44</f>
        <v>5701.80722891566</v>
      </c>
      <c r="R45" s="27" t="n">
        <f aca="false">R43+R44</f>
        <v>5701.80722891566</v>
      </c>
      <c r="S45" s="27" t="n">
        <f aca="false">S43+S44</f>
        <v>5701.80722891566</v>
      </c>
      <c r="T45" s="27" t="n">
        <f aca="false">T43+T44</f>
        <v>5701.80722891566</v>
      </c>
      <c r="U45" s="27" t="n">
        <f aca="false">U43+U44</f>
        <v>5701.80722891566</v>
      </c>
      <c r="V45" s="27" t="n">
        <f aca="false">V43+V44</f>
        <v>5701.80722891566</v>
      </c>
      <c r="W45" s="27" t="n">
        <f aca="false">W43+W44</f>
        <v>5701.80722891566</v>
      </c>
      <c r="X45" s="27" t="n">
        <f aca="false">X43+X44</f>
        <v>5701.80722891566</v>
      </c>
      <c r="Y45" s="27" t="n">
        <f aca="false">Y43+Y44</f>
        <v>5701.80722891566</v>
      </c>
      <c r="Z45" s="27" t="n">
        <f aca="false">Z43+Z44</f>
        <v>5701.80722891566</v>
      </c>
    </row>
    <row r="46" customFormat="false" ht="15" hidden="false" customHeight="false" outlineLevel="0" collapsed="false">
      <c r="B46" s="10" t="s">
        <v>43</v>
      </c>
      <c r="C46" s="28" t="n">
        <f aca="false">C41-C45</f>
        <v>-4035.140562249</v>
      </c>
      <c r="D46" s="28" t="n">
        <f aca="false">D41-D45</f>
        <v>-5300.20080321285</v>
      </c>
      <c r="E46" s="28" t="n">
        <f aca="false">E41-E45</f>
        <v>-5661.64658634538</v>
      </c>
      <c r="F46" s="28" t="n">
        <f aca="false">F41-F45</f>
        <v>-5637.55020080321</v>
      </c>
      <c r="G46" s="28" t="n">
        <f aca="false">G41-G45</f>
        <v>-5613.45381526104</v>
      </c>
      <c r="H46" s="28" t="n">
        <f aca="false">H41-H45</f>
        <v>-5589.35742971888</v>
      </c>
      <c r="I46" s="28" t="n">
        <f aca="false">I41-I45</f>
        <v>-5565.26104417671</v>
      </c>
      <c r="J46" s="28" t="n">
        <f aca="false">J41-J45</f>
        <v>-5541.16465863454</v>
      </c>
      <c r="K46" s="28" t="n">
        <f aca="false">K41-K45</f>
        <v>-5517.06827309237</v>
      </c>
      <c r="L46" s="28" t="n">
        <f aca="false">L41-L45</f>
        <v>-5492.9718875502</v>
      </c>
      <c r="M46" s="28" t="n">
        <f aca="false">M41-M45</f>
        <v>-5468.87550200803</v>
      </c>
      <c r="N46" s="28" t="n">
        <f aca="false">N41-N45</f>
        <v>-5444.77911646586</v>
      </c>
      <c r="O46" s="28" t="n">
        <f aca="false">O41-O45</f>
        <v>-5420.6827309237</v>
      </c>
      <c r="P46" s="28" t="n">
        <f aca="false">P41-P45</f>
        <v>-5396.58634538153</v>
      </c>
      <c r="Q46" s="28" t="n">
        <f aca="false">Q41-Q45</f>
        <v>-5372.48995983936</v>
      </c>
      <c r="R46" s="28" t="n">
        <f aca="false">R41-R45</f>
        <v>-5348.39357429719</v>
      </c>
      <c r="S46" s="28" t="n">
        <f aca="false">S41-S45</f>
        <v>-5324.29718875502</v>
      </c>
      <c r="T46" s="28" t="n">
        <f aca="false">T41-T45</f>
        <v>-5300.20080321285</v>
      </c>
      <c r="U46" s="28" t="n">
        <f aca="false">U41-U45</f>
        <v>-5276.10441767068</v>
      </c>
      <c r="V46" s="28" t="n">
        <f aca="false">V41-V45</f>
        <v>-5252.00803212851</v>
      </c>
      <c r="W46" s="28" t="n">
        <f aca="false">W41-W45</f>
        <v>-5227.91164658635</v>
      </c>
      <c r="X46" s="28" t="n">
        <f aca="false">X41-X45</f>
        <v>-5203.81526104418</v>
      </c>
      <c r="Y46" s="28" t="n">
        <f aca="false">Y41-Y45</f>
        <v>-5179.71887550201</v>
      </c>
      <c r="Z46" s="28" t="n">
        <f aca="false">Z41-Z45</f>
        <v>-5155.62248995984</v>
      </c>
    </row>
    <row r="47" customFormat="false" ht="15" hidden="false" customHeight="false" outlineLevel="0" collapsed="false">
      <c r="A47" s="29"/>
      <c r="B47" s="30" t="s">
        <v>44</v>
      </c>
      <c r="C47" s="31" t="n">
        <f aca="false">$D$10+C46</f>
        <v>165214.859437751</v>
      </c>
      <c r="D47" s="31" t="n">
        <f aca="false">C47+D46</f>
        <v>159914.658634538</v>
      </c>
      <c r="E47" s="31" t="n">
        <f aca="false">D47+E46</f>
        <v>154253.012048193</v>
      </c>
      <c r="F47" s="31" t="n">
        <f aca="false">E47+F46</f>
        <v>148615.46184739</v>
      </c>
      <c r="G47" s="31" t="n">
        <f aca="false">F47+G46</f>
        <v>143002.008032129</v>
      </c>
      <c r="H47" s="31" t="n">
        <f aca="false">G47+H46</f>
        <v>137412.65060241</v>
      </c>
      <c r="I47" s="31" t="n">
        <f aca="false">H47+I46</f>
        <v>131847.389558233</v>
      </c>
      <c r="J47" s="31" t="n">
        <f aca="false">I47+J46</f>
        <v>126306.224899598</v>
      </c>
      <c r="K47" s="31" t="n">
        <f aca="false">J47+K46</f>
        <v>120789.156626506</v>
      </c>
      <c r="L47" s="31" t="n">
        <f aca="false">K47+L46</f>
        <v>115296.184738956</v>
      </c>
      <c r="M47" s="31" t="n">
        <f aca="false">L47+M46</f>
        <v>109827.309236948</v>
      </c>
      <c r="N47" s="31" t="n">
        <f aca="false">M47+N46</f>
        <v>104382.530120482</v>
      </c>
      <c r="O47" s="31" t="n">
        <f aca="false">N47+O46</f>
        <v>98961.8473895582</v>
      </c>
      <c r="P47" s="31" t="n">
        <f aca="false">O47+P46</f>
        <v>93565.2610441767</v>
      </c>
      <c r="Q47" s="31" t="n">
        <f aca="false">P47+Q46</f>
        <v>88192.7710843373</v>
      </c>
      <c r="R47" s="31" t="n">
        <f aca="false">Q47+R46</f>
        <v>82844.3775100401</v>
      </c>
      <c r="S47" s="31" t="n">
        <f aca="false">R47+S46</f>
        <v>77520.0803212851</v>
      </c>
      <c r="T47" s="31" t="n">
        <f aca="false">S47+T46</f>
        <v>72219.8795180723</v>
      </c>
      <c r="U47" s="31" t="n">
        <f aca="false">T47+U46</f>
        <v>66943.7751004016</v>
      </c>
      <c r="V47" s="31" t="n">
        <f aca="false">U47+V46</f>
        <v>61691.7670682731</v>
      </c>
      <c r="W47" s="31" t="n">
        <f aca="false">V47+W46</f>
        <v>56463.8554216867</v>
      </c>
      <c r="X47" s="31" t="n">
        <f aca="false">W47+X46</f>
        <v>51260.0401606426</v>
      </c>
      <c r="Y47" s="31" t="n">
        <f aca="false">X47+Y46</f>
        <v>46080.3212851405</v>
      </c>
      <c r="Z47" s="31" t="n">
        <f aca="false">Y47+Z46</f>
        <v>40924.6987951807</v>
      </c>
    </row>
    <row r="49" customFormat="false" ht="18" hidden="false" customHeight="true" outlineLevel="0" collapsed="false">
      <c r="A49" s="5"/>
      <c r="B49" s="6" t="s">
        <v>45</v>
      </c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B50" s="10" t="s">
        <v>46</v>
      </c>
      <c r="D50" s="32" t="n">
        <f aca="false">COUNTIF(C47:Z47,"&gt;=0")</f>
        <v>24</v>
      </c>
      <c r="E50" s="32"/>
    </row>
    <row r="51" customFormat="false" ht="15" hidden="false" customHeight="false" outlineLevel="0" collapsed="false">
      <c r="B51" s="7" t="s">
        <v>47</v>
      </c>
      <c r="D51" s="33" t="n">
        <f aca="false">Z47</f>
        <v>40924.6987951807</v>
      </c>
      <c r="E51" s="33"/>
    </row>
    <row r="52" customFormat="false" ht="15" hidden="false" customHeight="false" outlineLevel="0" collapsed="false">
      <c r="B52" s="7" t="s">
        <v>48</v>
      </c>
      <c r="D52" s="34" t="n">
        <f aca="false">D19/D11/12</f>
        <v>24.0963855421687</v>
      </c>
      <c r="E52" s="34"/>
    </row>
    <row r="53" customFormat="false" ht="15" hidden="false" customHeight="false" outlineLevel="0" collapsed="false">
      <c r="B53" s="7" t="s">
        <v>49</v>
      </c>
      <c r="D53" s="18" t="n">
        <v>0.8</v>
      </c>
      <c r="E53" s="18"/>
    </row>
    <row r="54" customFormat="false" ht="15" hidden="false" customHeight="false" outlineLevel="0" collapsed="false">
      <c r="B54" s="7" t="s">
        <v>50</v>
      </c>
      <c r="D54" s="9" t="n">
        <v>24</v>
      </c>
      <c r="E54" s="9"/>
    </row>
    <row r="55" customFormat="false" ht="15" hidden="false" customHeight="false" outlineLevel="0" collapsed="false">
      <c r="B55" s="10" t="s">
        <v>51</v>
      </c>
      <c r="D55" s="11" t="n">
        <f aca="false">(D19/D11/12)*D54*D53</f>
        <v>462.650602409639</v>
      </c>
      <c r="E55" s="11"/>
    </row>
    <row r="56" customFormat="false" ht="15" hidden="false" customHeight="false" outlineLevel="0" collapsed="false">
      <c r="B56" s="7" t="s">
        <v>52</v>
      </c>
      <c r="D56" s="20" t="s">
        <v>53</v>
      </c>
      <c r="E56" s="20"/>
      <c r="F56" s="20"/>
    </row>
    <row r="58" customFormat="false" ht="15" hidden="false" customHeight="false" outlineLevel="0" collapsed="false">
      <c r="B58" s="20" t="s">
        <v>54</v>
      </c>
      <c r="C58" s="20"/>
      <c r="D58" s="20"/>
      <c r="E58" s="20"/>
      <c r="F58" s="20"/>
      <c r="G58" s="20"/>
      <c r="H58" s="20"/>
    </row>
    <row r="59" customFormat="false" ht="15" hidden="false" customHeight="false" outlineLevel="0" collapsed="false">
      <c r="B59" s="20" t="s">
        <v>55</v>
      </c>
      <c r="C59" s="20"/>
      <c r="D59" s="20"/>
      <c r="E59" s="20"/>
      <c r="F59" s="20"/>
      <c r="G59" s="20"/>
      <c r="H59" s="20"/>
    </row>
    <row r="60" customFormat="false" ht="15" hidden="false" customHeight="false" outlineLevel="0" collapsed="false">
      <c r="B60" s="20" t="s">
        <v>56</v>
      </c>
      <c r="C60" s="20"/>
      <c r="D60" s="20"/>
      <c r="E60" s="20"/>
      <c r="F60" s="20"/>
      <c r="G60" s="20"/>
      <c r="H60" s="20"/>
    </row>
    <row r="61" customFormat="false" ht="15" hidden="false" customHeight="false" outlineLevel="0" collapsed="false">
      <c r="B61" s="20" t="s">
        <v>57</v>
      </c>
      <c r="C61" s="20"/>
      <c r="D61" s="20"/>
      <c r="E61" s="20"/>
      <c r="F61" s="20"/>
      <c r="G61" s="20"/>
      <c r="H61" s="20"/>
    </row>
  </sheetData>
  <mergeCells count="48">
    <mergeCell ref="B1:H1"/>
    <mergeCell ref="B2:H2"/>
    <mergeCell ref="B3:H3"/>
    <mergeCell ref="B5:H5"/>
    <mergeCell ref="D6:E6"/>
    <mergeCell ref="D7:E7"/>
    <mergeCell ref="D8:E8"/>
    <mergeCell ref="D9:E9"/>
    <mergeCell ref="D10:E10"/>
    <mergeCell ref="D11:E11"/>
    <mergeCell ref="B13:H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D19:E19"/>
    <mergeCell ref="D20:E20"/>
    <mergeCell ref="D21:E21"/>
    <mergeCell ref="D22:E22"/>
    <mergeCell ref="B24:H24"/>
    <mergeCell ref="D25:E25"/>
    <mergeCell ref="D26:E26"/>
    <mergeCell ref="D27:E27"/>
    <mergeCell ref="D28:E28"/>
    <mergeCell ref="D29:E29"/>
    <mergeCell ref="D30:E30"/>
    <mergeCell ref="D31:E31"/>
    <mergeCell ref="D32:E32"/>
    <mergeCell ref="B34:F34"/>
    <mergeCell ref="B36:Z36"/>
    <mergeCell ref="B49:H49"/>
    <mergeCell ref="D50:E50"/>
    <mergeCell ref="D51:E51"/>
    <mergeCell ref="D52:E52"/>
    <mergeCell ref="D53:E53"/>
    <mergeCell ref="D54:E54"/>
    <mergeCell ref="D55:E55"/>
    <mergeCell ref="D56:F56"/>
    <mergeCell ref="B58:H58"/>
    <mergeCell ref="B59:H59"/>
    <mergeCell ref="B60:H60"/>
    <mergeCell ref="B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2026-06-20T06:37:38Z</dcterms:created>
  <dc:creator>openpyxl</dc:creator>
  <dc:description/>
  <dc:language>en-US</dc:language>
  <cp:lastModifiedBy/>
  <dcterms:modified xsi:type="dcterms:W3CDTF">2026-06-20T06:37:38Z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